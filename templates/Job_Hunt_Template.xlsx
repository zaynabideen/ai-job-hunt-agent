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b Database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1" hidden="1">'Job Database'!$A$2:$AM$2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666666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C6EFCE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63BE7B"/>
        </patternFill>
      </fill>
    </dxf>
    <dxf>
      <fill>
        <patternFill patternType="solid">
          <fgColor rgb="00F8696B"/>
        </patternFill>
      </fill>
    </dxf>
    <dxf>
      <fill>
        <patternFill patternType="solid">
          <fgColor rgb="00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Breakdown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'Dashboard'!$B$16:$B$20</f>
            </numRef>
          </cat>
          <val>
            <numRef>
              <f>'Dashboard'!$D$16:$D$20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Match Score by Job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 Database'!N2</f>
            </strRef>
          </tx>
          <spPr>
            <a:ln xmlns:a="http://schemas.openxmlformats.org/drawingml/2006/main">
              <a:prstDash val="solid"/>
            </a:ln>
          </spPr>
          <cat>
            <numRef>
              <f>'Job Database'!$A$3:$A$7</f>
            </numRef>
          </cat>
          <val>
            <numRef>
              <f>'Job Database'!$N$3:$N$7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5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5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com/jobs/acme-data-analyst" TargetMode="External" Id="rId1"/><Relationship Type="http://schemas.openxmlformats.org/officeDocument/2006/relationships/hyperlink" Target="https://example.com/jobs/northwind-bi-analyst" TargetMode="External" Id="rId2"/><Relationship Type="http://schemas.openxmlformats.org/officeDocument/2006/relationships/hyperlink" Target="https://example.com/jobs/globex-junior-ba" TargetMode="External" Id="rId3"/><Relationship Type="http://schemas.openxmlformats.org/officeDocument/2006/relationships/hyperlink" Target="https://example.com/jobs/sample-generic" TargetMode="External" Id="rId4"/><Relationship Type="http://schemas.openxmlformats.org/officeDocument/2006/relationships/hyperlink" Target="https://example.com/jobs/helios-data-analyst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4" customWidth="1" min="4" max="4"/>
  </cols>
  <sheetData>
    <row r="2">
      <c r="B2" s="1" t="inlineStr">
        <is>
          <t>AI JOB HUNT — COMMAND CENTER (TEMPLATE)</t>
        </is>
      </c>
    </row>
    <row r="3">
      <c r="B3" s="2" t="inlineStr">
        <is>
          <t>Example data — replace the rows in Job Database with your own search results.</t>
        </is>
      </c>
    </row>
    <row r="4">
      <c r="B4" s="3" t="inlineStr">
        <is>
          <t>Last full refresh:</t>
        </is>
      </c>
      <c r="C4" s="4">
        <f>TEXT(TODAY(),"dd mmm yyyy")</f>
        <v/>
      </c>
    </row>
    <row r="6">
      <c r="B6" s="5" t="inlineStr">
        <is>
          <t>KEY METRICS</t>
        </is>
      </c>
    </row>
    <row r="7">
      <c r="B7" s="6" t="inlineStr">
        <is>
          <t>Total Jobs Found</t>
        </is>
      </c>
      <c r="C7" s="7" t="n"/>
      <c r="D7" s="8">
        <f>COUNTA('Job Database'!A3:A7)</f>
        <v/>
      </c>
    </row>
    <row r="8">
      <c r="B8" s="6" t="inlineStr">
        <is>
          <t>Jobs Worth Applying (Score ≥ 75)</t>
        </is>
      </c>
      <c r="C8" s="7" t="n"/>
      <c r="D8" s="8">
        <f>COUNTIF('Job Database'!N3:N7,"&gt;=75")</f>
        <v/>
      </c>
    </row>
    <row r="9">
      <c r="B9" s="6" t="inlineStr">
        <is>
          <t>Applications Submitted</t>
        </is>
      </c>
      <c r="C9" s="7" t="n"/>
      <c r="D9" s="8">
        <f>COUNTIFS('Job Database'!AD3:AD7,"&lt;&gt;Not Applied",'Job Database'!AD3:AD7,"&lt;&gt;")</f>
        <v/>
      </c>
    </row>
    <row r="10">
      <c r="B10" s="6" t="inlineStr">
        <is>
          <t>Interviews (any stage)</t>
        </is>
      </c>
      <c r="C10" s="7" t="n"/>
      <c r="D10" s="8">
        <f>COUNTIF('Job Database'!AD3:AD7,"Interview*")</f>
        <v/>
      </c>
    </row>
    <row r="11">
      <c r="B11" s="6" t="inlineStr">
        <is>
          <t>Offers</t>
        </is>
      </c>
      <c r="C11" s="7" t="n"/>
      <c r="D11" s="8">
        <f>COUNTIF('Job Database'!AD3:AD7,"Offer")</f>
        <v/>
      </c>
    </row>
    <row r="12">
      <c r="B12" s="6" t="inlineStr">
        <is>
          <t>Average Match Score</t>
        </is>
      </c>
      <c r="C12" s="7" t="n"/>
      <c r="D12" s="8">
        <f>ROUND(AVERAGE('Job Database'!N3:N7),1)</f>
        <v/>
      </c>
    </row>
    <row r="13">
      <c r="B13" s="6" t="inlineStr">
        <is>
          <t>Open Vacancies</t>
        </is>
      </c>
      <c r="C13" s="7" t="n"/>
      <c r="D13" s="8">
        <f>COUNTIF('Job Database'!M3:M7,"*Open*")</f>
        <v/>
      </c>
    </row>
    <row r="15">
      <c r="B15" s="5" t="inlineStr">
        <is>
          <t>PRIORITY BREAKDOWN</t>
        </is>
      </c>
    </row>
    <row r="16">
      <c r="B16" s="6" t="inlineStr">
        <is>
          <t>🔥 Apply Now (85-100)</t>
        </is>
      </c>
      <c r="C16" s="9" t="n"/>
      <c r="D16" s="10">
        <f>COUNTIF('Job Database'!O3:O7,"*Apply Now*")</f>
        <v/>
      </c>
    </row>
    <row r="17">
      <c r="B17" s="6" t="inlineStr">
        <is>
          <t>🟢 High Priority (75-84)</t>
        </is>
      </c>
      <c r="C17" s="9" t="n"/>
      <c r="D17" s="10">
        <f>COUNTIF('Job Database'!O3:O7,"*High Priority*")</f>
        <v/>
      </c>
    </row>
    <row r="18">
      <c r="B18" s="6" t="inlineStr">
        <is>
          <t>🟡 Consider (65-74)</t>
        </is>
      </c>
      <c r="C18" s="9" t="n"/>
      <c r="D18" s="10">
        <f>COUNTIF('Job Database'!O3:O7,"*Consider*")</f>
        <v/>
      </c>
    </row>
    <row r="19">
      <c r="B19" s="6" t="inlineStr">
        <is>
          <t>🟠 Low Priority (50-64)</t>
        </is>
      </c>
      <c r="C19" s="9" t="n"/>
      <c r="D19" s="10">
        <f>COUNTIF('Job Database'!O3:O7,"*Low Priority*")</f>
        <v/>
      </c>
    </row>
    <row r="20">
      <c r="B20" s="6" t="inlineStr">
        <is>
          <t>🔴 Skip (&lt;50)</t>
        </is>
      </c>
      <c r="C20" s="9" t="n"/>
      <c r="D20" s="10">
        <f>COUNTIF('Job Database'!O3:O7,"*Skip*")</f>
        <v/>
      </c>
    </row>
  </sheetData>
  <mergeCells count="12">
    <mergeCell ref="B13:C13"/>
    <mergeCell ref="B16:C16"/>
    <mergeCell ref="B7:C7"/>
    <mergeCell ref="B11:C11"/>
    <mergeCell ref="B19:C19"/>
    <mergeCell ref="B20:C20"/>
    <mergeCell ref="B10:C10"/>
    <mergeCell ref="B17:C17"/>
    <mergeCell ref="B9:C9"/>
    <mergeCell ref="B8:C8"/>
    <mergeCell ref="B18:C18"/>
    <mergeCell ref="B12:C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0" customWidth="1" min="4" max="4"/>
    <col width="16" customWidth="1" min="5" max="5"/>
    <col width="14" customWidth="1" min="6" max="6"/>
    <col width="26" customWidth="1" min="7" max="7"/>
    <col width="20" customWidth="1" min="8" max="8"/>
    <col width="30" customWidth="1" min="9" max="9"/>
    <col width="22" customWidth="1" min="10" max="10"/>
    <col width="14" customWidth="1" min="11" max="11"/>
    <col width="16" customWidth="1" min="12" max="12"/>
    <col width="14" customWidth="1" min="13" max="13"/>
    <col width="10" customWidth="1" min="14" max="14"/>
    <col width="14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32" customWidth="1" min="24" max="24"/>
    <col width="32" customWidth="1" min="25" max="25"/>
    <col width="40" customWidth="1" min="26" max="26"/>
    <col width="40" customWidth="1" min="27" max="27"/>
    <col width="14" customWidth="1" min="28" max="28"/>
    <col width="14" customWidth="1" min="29" max="29"/>
    <col width="14" customWidth="1" min="30" max="30"/>
    <col width="12" customWidth="1" min="31" max="31"/>
    <col width="12" customWidth="1" min="32" max="32"/>
    <col width="12" customWidth="1" min="33" max="33"/>
    <col width="14" customWidth="1" min="34" max="34"/>
    <col width="32" customWidth="1" min="35" max="35"/>
    <col width="14" customWidth="1" min="36" max="36"/>
    <col width="32" customWidth="1" min="37" max="37"/>
    <col width="16" customWidth="1" min="38" max="38"/>
    <col width="16" customWidth="1" min="39" max="39"/>
  </cols>
  <sheetData>
    <row r="1" ht="20" customHeight="1">
      <c r="A1" s="1" t="inlineStr">
        <is>
          <t>JOB DATABASE — TEMPLATE (example rows, replace with your own)</t>
        </is>
      </c>
    </row>
    <row r="2" ht="44" customHeight="1">
      <c r="A2" s="11" t="inlineStr">
        <is>
          <t>Job ID</t>
        </is>
      </c>
      <c r="B2" s="11" t="inlineStr">
        <is>
          <t>Date Found</t>
        </is>
      </c>
      <c r="C2" s="11" t="inlineStr">
        <is>
          <t>Company</t>
        </is>
      </c>
      <c r="D2" s="11" t="inlineStr">
        <is>
          <t>Job Title</t>
        </is>
      </c>
      <c r="E2" s="11" t="inlineStr">
        <is>
          <t>Location</t>
        </is>
      </c>
      <c r="F2" s="11" t="inlineStr">
        <is>
          <t>Working Model</t>
        </is>
      </c>
      <c r="G2" s="11" t="inlineStr">
        <is>
          <t>Salary</t>
        </is>
      </c>
      <c r="H2" s="11" t="inlineStr">
        <is>
          <t>Employment Type</t>
        </is>
      </c>
      <c r="I2" s="11" t="inlineStr">
        <is>
          <t>Job URL</t>
        </is>
      </c>
      <c r="J2" s="11" t="inlineStr">
        <is>
          <t>Source</t>
        </is>
      </c>
      <c r="K2" s="11" t="inlineStr">
        <is>
          <t>Date Posted</t>
        </is>
      </c>
      <c r="L2" s="11" t="inlineStr">
        <is>
          <t>Closing Date</t>
        </is>
      </c>
      <c r="M2" s="11" t="inlineStr">
        <is>
          <t>Job Status</t>
        </is>
      </c>
      <c r="N2" s="11" t="inlineStr">
        <is>
          <t>Overall Match Score</t>
        </is>
      </c>
      <c r="O2" s="11" t="inlineStr">
        <is>
          <t>Priority</t>
        </is>
      </c>
      <c r="P2" s="11" t="inlineStr">
        <is>
          <t>Skills Match %</t>
        </is>
      </c>
      <c r="Q2" s="11" t="inlineStr">
        <is>
          <t>Experience Match %</t>
        </is>
      </c>
      <c r="R2" s="11" t="inlineStr">
        <is>
          <t>Education Match %</t>
        </is>
      </c>
      <c r="S2" s="11" t="inlineStr">
        <is>
          <t>Responsibilities Match %</t>
        </is>
      </c>
      <c r="T2" s="11" t="inlineStr">
        <is>
          <t>Seniority Match %</t>
        </is>
      </c>
      <c r="U2" s="11" t="inlineStr">
        <is>
          <t>Location Match %</t>
        </is>
      </c>
      <c r="V2" s="11" t="inlineStr">
        <is>
          <t>Salary/Career Value (/5)</t>
        </is>
      </c>
      <c r="W2" s="11" t="inlineStr">
        <is>
          <t>Application Feasibility (/5)</t>
        </is>
      </c>
      <c r="X2" s="11" t="inlineStr">
        <is>
          <t>Must-Have Skills</t>
        </is>
      </c>
      <c r="Y2" s="11" t="inlineStr">
        <is>
          <t>Missing Skills</t>
        </is>
      </c>
      <c r="Z2" s="11" t="inlineStr">
        <is>
          <t>Why I Match</t>
        </is>
      </c>
      <c r="AA2" s="11" t="inlineStr">
        <is>
          <t>Why I May Not Match</t>
        </is>
      </c>
      <c r="AB2" s="11" t="inlineStr">
        <is>
          <t>CV Version</t>
        </is>
      </c>
      <c r="AC2" s="11" t="inlineStr">
        <is>
          <t>Cover Letter Version</t>
        </is>
      </c>
      <c r="AD2" s="11" t="inlineStr">
        <is>
          <t>Application Status</t>
        </is>
      </c>
      <c r="AE2" s="11" t="inlineStr">
        <is>
          <t>Date Applied</t>
        </is>
      </c>
      <c r="AF2" s="11" t="inlineStr">
        <is>
          <t>Follow-Up Date</t>
        </is>
      </c>
      <c r="AG2" s="11" t="inlineStr">
        <is>
          <t>Last Checked</t>
        </is>
      </c>
      <c r="AH2" s="11" t="inlineStr">
        <is>
          <t>Vacancy Still Open?</t>
        </is>
      </c>
      <c r="AI2" s="11" t="inlineStr">
        <is>
          <t>Closing/Status Evidence</t>
        </is>
      </c>
      <c r="AJ2" s="11" t="inlineStr">
        <is>
          <t>Follow-Up Required?</t>
        </is>
      </c>
      <c r="AK2" s="11" t="inlineStr">
        <is>
          <t>Notes</t>
        </is>
      </c>
      <c r="AL2" s="11" t="inlineStr">
        <is>
          <t>Salary Min (£/yr, calc helper)</t>
        </is>
      </c>
      <c r="AM2" s="11" t="inlineStr">
        <is>
          <t>Salary Max (£/yr, calc helper)</t>
        </is>
      </c>
    </row>
    <row r="3">
      <c r="A3" s="12" t="inlineStr">
        <is>
          <t>JH-001</t>
        </is>
      </c>
      <c r="B3" s="12" t="inlineStr">
        <is>
          <t>2026-01-06</t>
        </is>
      </c>
      <c r="C3" s="12" t="inlineStr">
        <is>
          <t>Acme Analytics</t>
        </is>
      </c>
      <c r="D3" s="12" t="inlineStr">
        <is>
          <t>Data Analyst</t>
        </is>
      </c>
      <c r="E3" s="12" t="inlineStr">
        <is>
          <t>Remote (UK)</t>
        </is>
      </c>
      <c r="F3" s="12" t="inlineStr">
        <is>
          <t>Remote</t>
        </is>
      </c>
      <c r="G3" s="12" t="inlineStr">
        <is>
          <t>£45,000-£52,000/yr</t>
        </is>
      </c>
      <c r="H3" s="12" t="inlineStr">
        <is>
          <t>Permanent</t>
        </is>
      </c>
      <c r="I3" s="13" t="inlineStr">
        <is>
          <t>https://example.com/jobs/acme-data-analyst</t>
        </is>
      </c>
      <c r="J3" s="12" t="inlineStr">
        <is>
          <t>Indeed</t>
        </is>
      </c>
      <c r="K3" s="12" t="inlineStr">
        <is>
          <t>01 Jan 2026</t>
        </is>
      </c>
      <c r="L3" s="12" t="inlineStr">
        <is>
          <t>Not stated</t>
        </is>
      </c>
      <c r="M3" s="12" t="inlineStr">
        <is>
          <t>🟢 Open</t>
        </is>
      </c>
      <c r="N3" s="14" t="n">
        <v>88</v>
      </c>
      <c r="O3" s="12" t="inlineStr">
        <is>
          <t>🔥 APPLY NOW</t>
        </is>
      </c>
      <c r="P3" s="15" t="n">
        <v>85</v>
      </c>
      <c r="Q3" s="15" t="n">
        <v>90</v>
      </c>
      <c r="R3" s="15" t="n">
        <v>90</v>
      </c>
      <c r="S3" s="15" t="n">
        <v>88</v>
      </c>
      <c r="T3" s="15" t="n">
        <v>85</v>
      </c>
      <c r="U3" s="15" t="n">
        <v>100</v>
      </c>
      <c r="V3" s="12" t="n">
        <v>4</v>
      </c>
      <c r="W3" s="12" t="n">
        <v>5</v>
      </c>
      <c r="X3" s="12" t="inlineStr">
        <is>
          <t>SQL, Python, dashboard design</t>
        </is>
      </c>
      <c r="Y3" s="12" t="inlineStr">
        <is>
          <t>None mandatory</t>
        </is>
      </c>
      <c r="Z3" s="12" t="inlineStr">
        <is>
          <t>Core SQL/Python/dashboard work matches your last 2 roles directly.</t>
        </is>
      </c>
      <c r="AA3" s="12" t="inlineStr">
        <is>
          <t>No stated gaps.</t>
        </is>
      </c>
      <c r="AB3" s="12" t="inlineStr">
        <is>
          <t>CV_v1</t>
        </is>
      </c>
      <c r="AC3" s="12" t="inlineStr">
        <is>
          <t>CL_v1</t>
        </is>
      </c>
      <c r="AD3" s="12" t="inlineStr">
        <is>
          <t>Not Applied</t>
        </is>
      </c>
      <c r="AE3" s="12" t="inlineStr"/>
      <c r="AF3" s="12" t="inlineStr"/>
      <c r="AG3" s="12" t="inlineStr">
        <is>
          <t>2026-01-06</t>
        </is>
      </c>
      <c r="AH3" s="12" t="inlineStr">
        <is>
          <t>🟢 Open</t>
        </is>
      </c>
      <c r="AI3" s="12" t="inlineStr">
        <is>
          <t>Listing fetched 06 Jan 2026</t>
        </is>
      </c>
      <c r="AJ3" s="12" t="inlineStr">
        <is>
          <t>No</t>
        </is>
      </c>
      <c r="AK3" s="12" t="inlineStr">
        <is>
          <t>Top match this batch.</t>
        </is>
      </c>
      <c r="AL3" s="12" t="n">
        <v>45000</v>
      </c>
      <c r="AM3" s="12" t="n">
        <v>52000</v>
      </c>
    </row>
    <row r="4">
      <c r="A4" s="12" t="inlineStr">
        <is>
          <t>JH-002</t>
        </is>
      </c>
      <c r="B4" s="12" t="inlineStr">
        <is>
          <t>2026-01-06</t>
        </is>
      </c>
      <c r="C4" s="12" t="inlineStr">
        <is>
          <t>Northwind Data</t>
        </is>
      </c>
      <c r="D4" s="12" t="inlineStr">
        <is>
          <t>Business Intelligence Analyst</t>
        </is>
      </c>
      <c r="E4" s="12" t="inlineStr">
        <is>
          <t>Manchester (Hybrid)</t>
        </is>
      </c>
      <c r="F4" s="12" t="inlineStr">
        <is>
          <t>Hybrid</t>
        </is>
      </c>
      <c r="G4" s="12" t="inlineStr">
        <is>
          <t>Not stated in listing — needs verification</t>
        </is>
      </c>
      <c r="H4" s="12" t="inlineStr">
        <is>
          <t>Permanent</t>
        </is>
      </c>
      <c r="I4" s="13" t="inlineStr">
        <is>
          <t>https://example.com/jobs/northwind-bi-analyst</t>
        </is>
      </c>
      <c r="J4" s="12" t="inlineStr">
        <is>
          <t>Reed</t>
        </is>
      </c>
      <c r="K4" s="12" t="inlineStr">
        <is>
          <t>03 Jan 2026</t>
        </is>
      </c>
      <c r="L4" s="12" t="inlineStr">
        <is>
          <t>Not stated</t>
        </is>
      </c>
      <c r="M4" s="12" t="inlineStr">
        <is>
          <t>🟢 Open</t>
        </is>
      </c>
      <c r="N4" s="14" t="n">
        <v>76</v>
      </c>
      <c r="O4" s="12" t="inlineStr">
        <is>
          <t>🟢 HIGH PRIORITY</t>
        </is>
      </c>
      <c r="P4" s="15" t="n">
        <v>75</v>
      </c>
      <c r="Q4" s="15" t="n">
        <v>70</v>
      </c>
      <c r="R4" s="15" t="n">
        <v>90</v>
      </c>
      <c r="S4" s="15" t="n">
        <v>78</v>
      </c>
      <c r="T4" s="15" t="n">
        <v>75</v>
      </c>
      <c r="U4" s="15" t="n">
        <v>80</v>
      </c>
      <c r="V4" s="12" t="n">
        <v>3</v>
      </c>
      <c r="W4" s="12" t="n">
        <v>4</v>
      </c>
      <c r="X4" s="12" t="inlineStr">
        <is>
          <t>Power BI, stakeholder reporting</t>
        </is>
      </c>
      <c r="Y4" s="12" t="inlineStr">
        <is>
          <t>No named cloud DW experience</t>
        </is>
      </c>
      <c r="Z4" s="12" t="inlineStr">
        <is>
          <t>Power BI + reporting background overlaps well.</t>
        </is>
      </c>
      <c r="AA4" s="12" t="inlineStr">
        <is>
          <t>Cloud data warehouse experience not confirmed on CV.</t>
        </is>
      </c>
      <c r="AB4" s="12" t="inlineStr">
        <is>
          <t>CV_v2</t>
        </is>
      </c>
      <c r="AC4" s="12" t="inlineStr">
        <is>
          <t>CL_v2</t>
        </is>
      </c>
      <c r="AD4" s="12" t="inlineStr">
        <is>
          <t>Not Applied</t>
        </is>
      </c>
      <c r="AE4" s="12" t="inlineStr"/>
      <c r="AF4" s="12" t="inlineStr"/>
      <c r="AG4" s="12" t="inlineStr">
        <is>
          <t>2026-01-06</t>
        </is>
      </c>
      <c r="AH4" s="12" t="inlineStr">
        <is>
          <t>🟢 Open</t>
        </is>
      </c>
      <c r="AI4" s="12" t="inlineStr">
        <is>
          <t>Listing fetched 06 Jan 2026</t>
        </is>
      </c>
      <c r="AJ4" s="12" t="inlineStr">
        <is>
          <t>No</t>
        </is>
      </c>
      <c r="AK4" s="12" t="inlineStr">
        <is>
          <t>Verify salary before applying.</t>
        </is>
      </c>
      <c r="AL4" s="12" t="inlineStr"/>
      <c r="AM4" s="12" t="inlineStr"/>
    </row>
    <row r="5">
      <c r="A5" s="12" t="inlineStr">
        <is>
          <t>JH-003</t>
        </is>
      </c>
      <c r="B5" s="12" t="inlineStr">
        <is>
          <t>2026-01-06</t>
        </is>
      </c>
      <c r="C5" s="12" t="inlineStr">
        <is>
          <t>Globex Tech</t>
        </is>
      </c>
      <c r="D5" s="12" t="inlineStr">
        <is>
          <t>Junior Business Analyst</t>
        </is>
      </c>
      <c r="E5" s="12" t="inlineStr">
        <is>
          <t>London</t>
        </is>
      </c>
      <c r="F5" s="12" t="inlineStr">
        <is>
          <t>On-site</t>
        </is>
      </c>
      <c r="G5" s="12" t="inlineStr">
        <is>
          <t>£34,000-£38,000/yr</t>
        </is>
      </c>
      <c r="H5" s="12" t="inlineStr">
        <is>
          <t>Permanent</t>
        </is>
      </c>
      <c r="I5" s="13" t="inlineStr">
        <is>
          <t>https://example.com/jobs/globex-junior-ba</t>
        </is>
      </c>
      <c r="J5" s="12" t="inlineStr">
        <is>
          <t>LinkedIn</t>
        </is>
      </c>
      <c r="K5" s="12" t="inlineStr">
        <is>
          <t>04 Jan 2026</t>
        </is>
      </c>
      <c r="L5" s="12" t="inlineStr">
        <is>
          <t>Not stated</t>
        </is>
      </c>
      <c r="M5" s="12" t="inlineStr">
        <is>
          <t>🟢 Open</t>
        </is>
      </c>
      <c r="N5" s="14" t="n">
        <v>61</v>
      </c>
      <c r="O5" s="12" t="inlineStr">
        <is>
          <t>🟠 LOW PRIORITY</t>
        </is>
      </c>
      <c r="P5" s="15" t="n">
        <v>55</v>
      </c>
      <c r="Q5" s="15" t="n">
        <v>45</v>
      </c>
      <c r="R5" s="15" t="n">
        <v>90</v>
      </c>
      <c r="S5" s="15" t="n">
        <v>55</v>
      </c>
      <c r="T5" s="15" t="n">
        <v>60</v>
      </c>
      <c r="U5" s="15" t="n">
        <v>100</v>
      </c>
      <c r="V5" s="12" t="n">
        <v>2</v>
      </c>
      <c r="W5" s="12" t="n">
        <v>3</v>
      </c>
      <c r="X5" s="12" t="inlineStr">
        <is>
          <t>Requirements gathering, Agile ceremonies</t>
        </is>
      </c>
      <c r="Y5" s="12" t="inlineStr">
        <is>
          <t>No formal BA job title yet</t>
        </is>
      </c>
      <c r="Z5" s="12" t="inlineStr">
        <is>
          <t>Business Analytics coursework covers the theory.</t>
        </is>
      </c>
      <c r="AA5" s="12" t="inlineStr">
        <is>
          <t>No BA-titled role in work history yet; salary below target.</t>
        </is>
      </c>
      <c r="AB5" s="12" t="inlineStr">
        <is>
          <t>Not created — below 75 threshold</t>
        </is>
      </c>
      <c r="AC5" s="12" t="inlineStr">
        <is>
          <t>Not created — below 75 threshold</t>
        </is>
      </c>
      <c r="AD5" s="12" t="inlineStr">
        <is>
          <t>Not Applied</t>
        </is>
      </c>
      <c r="AE5" s="12" t="inlineStr"/>
      <c r="AF5" s="12" t="inlineStr"/>
      <c r="AG5" s="12" t="inlineStr">
        <is>
          <t>2026-01-06</t>
        </is>
      </c>
      <c r="AH5" s="12" t="inlineStr">
        <is>
          <t>🟢 Open</t>
        </is>
      </c>
      <c r="AI5" s="12" t="inlineStr">
        <is>
          <t>Listing fetched 06 Jan 2026</t>
        </is>
      </c>
      <c r="AJ5" s="12" t="inlineStr">
        <is>
          <t>No</t>
        </is>
      </c>
      <c r="AK5" s="12" t="inlineStr">
        <is>
          <t>Stretch role, revisit later.</t>
        </is>
      </c>
      <c r="AL5" s="12" t="n">
        <v>34000</v>
      </c>
      <c r="AM5" s="12" t="n">
        <v>38000</v>
      </c>
    </row>
    <row r="6">
      <c r="A6" s="12" t="inlineStr">
        <is>
          <t>JH-004</t>
        </is>
      </c>
      <c r="B6" s="12" t="inlineStr">
        <is>
          <t>2026-01-06</t>
        </is>
      </c>
      <c r="C6" s="12" t="inlineStr">
        <is>
          <t>Sample Ltd (recruiter template posting)</t>
        </is>
      </c>
      <c r="D6" s="12" t="inlineStr">
        <is>
          <t>Data Analyst (generic template)</t>
        </is>
      </c>
      <c r="E6" s="12" t="inlineStr">
        <is>
          <t>London</t>
        </is>
      </c>
      <c r="F6" s="12" t="inlineStr">
        <is>
          <t>Not specified</t>
        </is>
      </c>
      <c r="G6" s="12" t="inlineStr">
        <is>
          <t>Not disclosed</t>
        </is>
      </c>
      <c r="H6" s="12" t="inlineStr">
        <is>
          <t>Fixed term contract</t>
        </is>
      </c>
      <c r="I6" s="13" t="inlineStr">
        <is>
          <t>https://example.com/jobs/sample-generic</t>
        </is>
      </c>
      <c r="J6" s="12" t="inlineStr">
        <is>
          <t>Indeed / Glassdoor — same recruiter posted 6+ near-identical listings</t>
        </is>
      </c>
      <c r="K6" s="12" t="inlineStr">
        <is>
          <t>02-03 Jan 2026</t>
        </is>
      </c>
      <c r="L6" s="12" t="inlineStr">
        <is>
          <t>Not stated</t>
        </is>
      </c>
      <c r="M6" s="12" t="inlineStr">
        <is>
          <t>🟠 Status Uncertain</t>
        </is>
      </c>
      <c r="N6" s="14" t="n">
        <v>44</v>
      </c>
      <c r="O6" s="12" t="inlineStr">
        <is>
          <t>🔴 SKIP</t>
        </is>
      </c>
      <c r="P6" s="15" t="n">
        <v>40</v>
      </c>
      <c r="Q6" s="15" t="n">
        <v>40</v>
      </c>
      <c r="R6" s="15" t="n">
        <v>80</v>
      </c>
      <c r="S6" s="15" t="n">
        <v>40</v>
      </c>
      <c r="T6" s="15" t="n">
        <v>50</v>
      </c>
      <c r="U6" s="15" t="n">
        <v>100</v>
      </c>
      <c r="V6" s="12" t="n">
        <v>1</v>
      </c>
      <c r="W6" s="12" t="n">
        <v>1</v>
      </c>
      <c r="X6" s="12" t="inlineStr">
        <is>
          <t>Generic template text repeated across titles</t>
        </is>
      </c>
      <c r="Y6" s="12" t="inlineStr">
        <is>
          <t>No named client, no salary</t>
        </is>
      </c>
      <c r="Z6" s="12" t="inlineStr">
        <is>
          <t>Title keywords match.</t>
        </is>
      </c>
      <c r="AA6" s="12" t="inlineStr">
        <is>
          <t>Recruiter CV-farming pattern — same text across many unrelated job titles, no named client.</t>
        </is>
      </c>
      <c r="AB6" s="12" t="inlineStr">
        <is>
          <t>Not created — flagged, not applying</t>
        </is>
      </c>
      <c r="AC6" s="12" t="inlineStr">
        <is>
          <t>Not created — flagged, not applying</t>
        </is>
      </c>
      <c r="AD6" s="12" t="inlineStr">
        <is>
          <t>Not Applied</t>
        </is>
      </c>
      <c r="AE6" s="12" t="inlineStr"/>
      <c r="AF6" s="12" t="inlineStr"/>
      <c r="AG6" s="12" t="inlineStr">
        <is>
          <t>2026-01-06</t>
        </is>
      </c>
      <c r="AH6" s="12" t="inlineStr">
        <is>
          <t>🟠 Status Uncertain</t>
        </is>
      </c>
      <c r="AI6" s="12" t="inlineStr">
        <is>
          <t>6+ duplicate template postings, same recruiter, same 2 dates</t>
        </is>
      </c>
      <c r="AJ6" s="12" t="inlineStr">
        <is>
          <t>No</t>
        </is>
      </c>
      <c r="AK6" s="12" t="inlineStr">
        <is>
          <t>🚩 Quality flag — do not apply without a real recruiter conversation.</t>
        </is>
      </c>
      <c r="AL6" s="12" t="inlineStr"/>
      <c r="AM6" s="12" t="inlineStr"/>
    </row>
    <row r="7">
      <c r="A7" s="12" t="inlineStr">
        <is>
          <t>JH-005</t>
        </is>
      </c>
      <c r="B7" s="12" t="inlineStr">
        <is>
          <t>2026-01-06</t>
        </is>
      </c>
      <c r="C7" s="12" t="inlineStr">
        <is>
          <t>Helios Aerospace</t>
        </is>
      </c>
      <c r="D7" s="12" t="inlineStr">
        <is>
          <t>Data Analyst</t>
        </is>
      </c>
      <c r="E7" s="12" t="inlineStr">
        <is>
          <t>Remote</t>
        </is>
      </c>
      <c r="F7" s="12" t="inlineStr">
        <is>
          <t>Remote</t>
        </is>
      </c>
      <c r="G7" s="12" t="inlineStr">
        <is>
          <t>Not stated in listing — needs verification</t>
        </is>
      </c>
      <c r="H7" s="12" t="inlineStr">
        <is>
          <t>Temp to perm</t>
        </is>
      </c>
      <c r="I7" s="13" t="inlineStr">
        <is>
          <t>https://example.com/jobs/helios-data-analyst</t>
        </is>
      </c>
      <c r="J7" s="12" t="inlineStr">
        <is>
          <t>Indeed</t>
        </is>
      </c>
      <c r="K7" s="12" t="inlineStr">
        <is>
          <t>05 Jan 2026</t>
        </is>
      </c>
      <c r="L7" s="12" t="inlineStr">
        <is>
          <t>Not stated</t>
        </is>
      </c>
      <c r="M7" s="12" t="inlineStr">
        <is>
          <t>🟢 Open</t>
        </is>
      </c>
      <c r="N7" s="14" t="n">
        <v>79</v>
      </c>
      <c r="O7" s="12" t="inlineStr">
        <is>
          <t>🟢 HIGH PRIORITY</t>
        </is>
      </c>
      <c r="P7" s="15" t="n">
        <v>80</v>
      </c>
      <c r="Q7" s="15" t="n">
        <v>65</v>
      </c>
      <c r="R7" s="15" t="n">
        <v>90</v>
      </c>
      <c r="S7" s="15" t="n">
        <v>85</v>
      </c>
      <c r="T7" s="15" t="n">
        <v>80</v>
      </c>
      <c r="U7" s="15" t="n">
        <v>100</v>
      </c>
      <c r="V7" s="12" t="n">
        <v>3</v>
      </c>
      <c r="W7" s="12" t="n">
        <v>4</v>
      </c>
      <c r="X7" s="12" t="inlineStr">
        <is>
          <t>ETL/automation of manual reporting, dashboards</t>
        </is>
      </c>
      <c r="Y7" s="12" t="inlineStr">
        <is>
          <t>No named BI tool confirmed</t>
        </is>
      </c>
      <c r="Z7" s="12" t="inlineStr">
        <is>
          <t>Automation + dashboard work maps directly onto your portfolio project.</t>
        </is>
      </c>
      <c r="AA7" s="12" t="inlineStr">
        <is>
          <t>No years-of-experience threshold stated — unclear how competitive the field is.</t>
        </is>
      </c>
      <c r="AB7" s="12" t="inlineStr">
        <is>
          <t>CV_v3</t>
        </is>
      </c>
      <c r="AC7" s="12" t="inlineStr">
        <is>
          <t>CL_v3</t>
        </is>
      </c>
      <c r="AD7" s="12" t="inlineStr">
        <is>
          <t>Not Applied</t>
        </is>
      </c>
      <c r="AE7" s="12" t="inlineStr"/>
      <c r="AF7" s="12" t="inlineStr"/>
      <c r="AG7" s="12" t="inlineStr">
        <is>
          <t>2026-01-06</t>
        </is>
      </c>
      <c r="AH7" s="12" t="inlineStr">
        <is>
          <t>🟢 Open</t>
        </is>
      </c>
      <c r="AI7" s="12" t="inlineStr">
        <is>
          <t>Listing fetched 06 Jan 2026</t>
        </is>
      </c>
      <c r="AJ7" s="12" t="inlineStr">
        <is>
          <t>No</t>
        </is>
      </c>
      <c r="AK7" s="12" t="inlineStr">
        <is>
          <t>Lead with your automation portfolio project.</t>
        </is>
      </c>
      <c r="AL7" s="12" t="inlineStr"/>
      <c r="AM7" s="12" t="inlineStr"/>
    </row>
  </sheetData>
  <autoFilter ref="A2:AM2"/>
  <mergeCells count="1">
    <mergeCell ref="A1:AM1"/>
  </mergeCells>
  <conditionalFormatting sqref="A3:AM7">
    <cfRule type="expression" priority="1" dxfId="0">
      <formula>$O3="🔥 Apply Now"</formula>
    </cfRule>
    <cfRule type="expression" priority="2" dxfId="1">
      <formula>$O3="🟢 HIGH PRIORITY"</formula>
    </cfRule>
    <cfRule type="expression" priority="3" dxfId="2">
      <formula>$O3="🟡 CONSIDER"</formula>
    </cfRule>
    <cfRule type="expression" priority="4" dxfId="3">
      <formula>$O3="🟠 LOW PRIORITY"</formula>
    </cfRule>
    <cfRule type="expression" priority="5" dxfId="4">
      <formula>$O3="🔴 SKIP"</formula>
    </cfRule>
  </conditionalFormatting>
  <conditionalFormatting sqref="N3:N7">
    <cfRule type="expression" priority="6" dxfId="5">
      <formula>N3&gt;=85</formula>
    </cfRule>
    <cfRule type="expression" priority="7" dxfId="6">
      <formula>N3&lt;50</formula>
    </cfRule>
  </conditionalFormatting>
  <conditionalFormatting sqref="AJ3:AJ7">
    <cfRule type="expression" priority="8" dxfId="7">
      <formula>LEFT($AJ3,3)="Yes"</formula>
    </cfRule>
  </conditionalFormatting>
  <dataValidations count="5">
    <dataValidation sqref="M3:M7" showDropDown="0" showInputMessage="0" showErrorMessage="0" allowBlank="1" type="list">
      <formula1>"🟢 Open,🟡 Closing Soon,🟠 Status Uncertain,🔴 Closed,⚫ Removed,🔵 Application Submitted,🟣 Interview,⚪ Rejected,🟢 Offer"</formula1>
    </dataValidation>
    <dataValidation sqref="O3:O7" showDropDown="0" showInputMessage="0" showErrorMessage="0" allowBlank="1" type="list">
      <formula1>"🔥 APPLY NOW,🟢 HIGH PRIORITY,🟡 CONSIDER,🟠 LOW PRIORITY,🔴 SKIP"</formula1>
    </dataValidation>
    <dataValidation sqref="AD3:AD7" showDropDown="0" showInputMessage="0" showErrorMessage="0" allowBlank="1" type="list">
      <formula1>"Not Applied,Preparing,Applied,Assessment,Recruiter Contact,Interview 1,Interview 2,Final Interview,Offer,Rejected,Withdrawn,Closed"</formula1>
    </dataValidation>
    <dataValidation sqref="AH3:AH7" showDropDown="0" showInputMessage="0" showErrorMessage="0" allowBlank="1" type="list">
      <formula1>"🟢 Open,🟡 Closing Soon,🟠 Status Uncertain,🔴 Closed,⚫ Removed"</formula1>
    </dataValidation>
    <dataValidation sqref="AJ3:AJ7" showDropDown="0" showInputMessage="0" showErrorMessage="0" allowBlank="1" type="list">
      <formula1>"Yes,No,Yes - overdue"</formula1>
    </dataValidation>
  </dataValidation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HOW TO USE THIS TEMPLATE</t>
        </is>
      </c>
    </row>
    <row r="4">
      <c r="B4" s="4" t="inlineStr">
        <is>
          <t>1. Replace the example rows</t>
        </is>
      </c>
      <c r="C4" s="16" t="inlineStr">
        <is>
          <t>Delete rows 3-7 in Job Database and paste in your own search results, or feed listings through prompts/matching_prompt.md.</t>
        </is>
      </c>
    </row>
    <row r="5">
      <c r="B5" s="4" t="inlineStr">
        <is>
          <t>2. Priority colour coding</t>
        </is>
      </c>
      <c r="C5" s="16" t="inlineStr">
        <is>
          <t>Applied automatically from the score in column N — override manually if you disagree.</t>
        </is>
      </c>
    </row>
    <row r="6">
      <c r="B6" s="4" t="inlineStr">
        <is>
          <t>3. CV Version / Cover Letter Version</t>
        </is>
      </c>
      <c r="C6" s="16" t="inlineStr">
        <is>
          <t>Once you generate a tailored CV/cover letter (see prompts/), upload it to Drive and hyperlink the cell to it.</t>
        </is>
      </c>
    </row>
    <row r="7">
      <c r="B7" s="4" t="inlineStr">
        <is>
          <t>4. Dashboard</t>
        </is>
      </c>
      <c r="C7" s="16" t="inlineStr">
        <is>
          <t>Updates live from Job Database — no manual refresh needed.</t>
        </is>
      </c>
    </row>
    <row r="9">
      <c r="B9" s="4" t="inlineStr">
        <is>
          <t>Full docs</t>
        </is>
      </c>
      <c r="C9" s="16" t="inlineStr">
        <is>
          <t>See docs/ARCHITECTURE.md in the repo for the full system design, including an optional n8n automation layer.</t>
        </is>
      </c>
    </row>
  </sheetData>
  <mergeCells count="6">
    <mergeCell ref="C9:F9"/>
    <mergeCell ref="B2:F2"/>
    <mergeCell ref="C4:F4"/>
    <mergeCell ref="C6:F6"/>
    <mergeCell ref="C7:F7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2026-08-12T01:42:05Z</dcterms:created>
  <dcterms:modified xmlns:dcterms="http://purl.org/dc/terms/" xmlns:xsi="http://www.w3.org/2001/XMLSchema-instance" xsi:type="dcterms:W3CDTF">2026-08-12T01:42:05Z</dcterms:modified>
</cp:coreProperties>
</file>